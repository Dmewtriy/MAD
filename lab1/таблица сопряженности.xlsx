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k\МАД\lab1\"/>
    </mc:Choice>
  </mc:AlternateContent>
  <xr:revisionPtr revIDLastSave="0" documentId="13_ncr:1_{57C32401-ABC6-40D0-A311-AF411715C1BA}" xr6:coauthVersionLast="47" xr6:coauthVersionMax="47" xr10:uidLastSave="{00000000-0000-0000-0000-000000000000}"/>
  <bookViews>
    <workbookView xWindow="-120" yWindow="-120" windowWidth="29040" windowHeight="15720" xr2:uid="{E58518A1-845A-4E3A-97E1-9D87F81A5EC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1" l="1"/>
  <c r="C20" i="1"/>
  <c r="C23" i="1" s="1"/>
  <c r="C22" i="1"/>
  <c r="C21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C32" i="1" l="1"/>
  <c r="D29" i="1"/>
  <c r="C26" i="1"/>
  <c r="D14" i="1"/>
  <c r="F14" i="1" s="1"/>
  <c r="E14" i="1"/>
  <c r="C14" i="1"/>
  <c r="F8" i="1"/>
  <c r="F9" i="1"/>
  <c r="F10" i="1"/>
  <c r="F11" i="1"/>
  <c r="F12" i="1"/>
  <c r="F13" i="1"/>
  <c r="F7" i="1"/>
  <c r="E16" i="1" l="1"/>
  <c r="H11" i="1"/>
  <c r="H9" i="1"/>
  <c r="C16" i="1"/>
  <c r="H13" i="1"/>
  <c r="H8" i="1"/>
  <c r="H10" i="1"/>
  <c r="H7" i="1"/>
  <c r="D16" i="1"/>
  <c r="H12" i="1"/>
  <c r="K12" i="1" l="1"/>
  <c r="L12" i="1"/>
  <c r="M12" i="1"/>
  <c r="L10" i="1"/>
  <c r="M10" i="1"/>
  <c r="K10" i="1"/>
  <c r="L8" i="1"/>
  <c r="M8" i="1"/>
  <c r="K8" i="1"/>
  <c r="L13" i="1"/>
  <c r="K13" i="1"/>
  <c r="M13" i="1"/>
  <c r="M9" i="1"/>
  <c r="K9" i="1"/>
  <c r="L9" i="1"/>
  <c r="K11" i="1"/>
  <c r="L11" i="1"/>
  <c r="M11" i="1"/>
  <c r="K7" i="1"/>
  <c r="M7" i="1"/>
  <c r="S7" i="1" s="1"/>
  <c r="L7" i="1"/>
  <c r="Q7" i="1" l="1"/>
  <c r="K14" i="1"/>
  <c r="N9" i="1"/>
  <c r="N11" i="1"/>
  <c r="L14" i="1"/>
  <c r="N13" i="1"/>
  <c r="M14" i="1"/>
  <c r="S14" i="1"/>
  <c r="N8" i="1"/>
  <c r="N10" i="1"/>
  <c r="N7" i="1"/>
  <c r="R7" i="1"/>
  <c r="N12" i="1"/>
  <c r="Q14" i="1" l="1"/>
  <c r="R14" i="1"/>
  <c r="N14" i="1"/>
</calcChain>
</file>

<file path=xl/sharedStrings.xml><?xml version="1.0" encoding="utf-8"?>
<sst xmlns="http://schemas.openxmlformats.org/spreadsheetml/2006/main" count="32" uniqueCount="22">
  <si>
    <t>4wd</t>
  </si>
  <si>
    <t>fwd</t>
  </si>
  <si>
    <t>rwd</t>
  </si>
  <si>
    <t>ВСЕГО</t>
  </si>
  <si>
    <t>нулевая гипотеза: оценка страхового риска НЕ ЗАВИСИТ от типа привода</t>
  </si>
  <si>
    <t>ui</t>
  </si>
  <si>
    <t>vj</t>
  </si>
  <si>
    <t>Observed</t>
  </si>
  <si>
    <t>Expected</t>
  </si>
  <si>
    <t>Расчет ХИ2</t>
  </si>
  <si>
    <t>df</t>
  </si>
  <si>
    <t>число степеней свободы</t>
  </si>
  <si>
    <t>ХИ2</t>
  </si>
  <si>
    <t>значение статистики</t>
  </si>
  <si>
    <t>p-значение</t>
  </si>
  <si>
    <t>Уровень значимости</t>
  </si>
  <si>
    <t>Пороговое значение ХИ2</t>
  </si>
  <si>
    <t>Результат проверки Но:</t>
  </si>
  <si>
    <t xml:space="preserve">Вопрос: </t>
  </si>
  <si>
    <t>Ответ:</t>
  </si>
  <si>
    <t>Проверка нулевой гипотезы: "Оценка страхового риска НЕ ЗАВИСИТ от типа привода"</t>
  </si>
  <si>
    <t>Влияет ли тип привода на оценку страхового риска?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</si>
</sst>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sz val="10"/>
      <name val="Aptos Narrow"/>
      <family val="2"/>
      <charset val="204"/>
      <scheme val="minor"/>
    </font>
    <font>
      <b/>
      <sz val="1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/>
    <xf numFmtId="10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5" fillId="0" borderId="1" xfId="1" applyFont="1" applyBorder="1"/>
    <xf numFmtId="0" fontId="5" fillId="0" borderId="0" xfId="1" applyFont="1"/>
    <xf numFmtId="164" fontId="5" fillId="0" borderId="1" xfId="1" applyNumberFormat="1" applyFont="1" applyBorder="1"/>
    <xf numFmtId="0" fontId="5" fillId="0" borderId="1" xfId="1" applyFont="1" applyBorder="1" applyAlignment="1">
      <alignment wrapText="1"/>
    </xf>
    <xf numFmtId="0" fontId="5" fillId="2" borderId="1" xfId="1" applyFont="1" applyFill="1" applyBorder="1"/>
    <xf numFmtId="0" fontId="6" fillId="0" borderId="0" xfId="1" applyFont="1"/>
    <xf numFmtId="0" fontId="5" fillId="4" borderId="0" xfId="1" applyFont="1" applyFill="1"/>
  </cellXfs>
  <cellStyles count="2">
    <cellStyle name="Обычный" xfId="0" builtinId="0"/>
    <cellStyle name="Обычный 2" xfId="1" xr:uid="{6A2706C8-19A9-4FD7-AA6A-16B0D1BC5C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0FB3-9813-43CB-9032-6C3617CE171C}">
  <dimension ref="B2:S32"/>
  <sheetViews>
    <sheetView tabSelected="1" topLeftCell="A10" zoomScale="115" zoomScaleNormal="115" workbookViewId="0">
      <selection activeCell="K26" sqref="K26"/>
    </sheetView>
  </sheetViews>
  <sheetFormatPr defaultRowHeight="15" x14ac:dyDescent="0.25"/>
  <cols>
    <col min="3" max="3" width="12" bestFit="1" customWidth="1"/>
    <col min="6" max="6" width="10" customWidth="1"/>
    <col min="8" max="8" width="7.85546875" customWidth="1"/>
    <col min="17" max="17" width="10.85546875" bestFit="1" customWidth="1"/>
    <col min="18" max="18" width="11" customWidth="1"/>
    <col min="19" max="19" width="10.7109375" customWidth="1"/>
  </cols>
  <sheetData>
    <row r="2" spans="2:19" x14ac:dyDescent="0.25">
      <c r="B2" t="s">
        <v>4</v>
      </c>
    </row>
    <row r="5" spans="2:19" x14ac:dyDescent="0.25">
      <c r="B5" s="2" t="s">
        <v>7</v>
      </c>
      <c r="J5" s="2" t="s">
        <v>8</v>
      </c>
      <c r="P5" t="s">
        <v>9</v>
      </c>
    </row>
    <row r="6" spans="2:19" ht="37.5" x14ac:dyDescent="0.25">
      <c r="B6" s="4"/>
      <c r="C6" s="5" t="s">
        <v>0</v>
      </c>
      <c r="D6" s="5" t="s">
        <v>1</v>
      </c>
      <c r="E6" s="5" t="s">
        <v>2</v>
      </c>
      <c r="F6" s="1" t="s">
        <v>3</v>
      </c>
      <c r="H6" s="1" t="s">
        <v>5</v>
      </c>
      <c r="J6" s="4"/>
      <c r="K6" s="5" t="s">
        <v>0</v>
      </c>
      <c r="L6" s="5" t="s">
        <v>1</v>
      </c>
      <c r="M6" s="5" t="s">
        <v>2</v>
      </c>
      <c r="N6" s="1" t="s">
        <v>3</v>
      </c>
      <c r="P6" s="4"/>
      <c r="Q6" s="5" t="s">
        <v>0</v>
      </c>
      <c r="R6" s="5" t="s">
        <v>1</v>
      </c>
      <c r="S6" s="5" t="s">
        <v>2</v>
      </c>
    </row>
    <row r="7" spans="2:19" ht="18.75" x14ac:dyDescent="0.25">
      <c r="B7" s="5">
        <v>-3</v>
      </c>
      <c r="C7" s="6">
        <v>0</v>
      </c>
      <c r="D7" s="6">
        <v>0</v>
      </c>
      <c r="E7" s="6">
        <v>0</v>
      </c>
      <c r="F7" s="7">
        <f>SUM(C7:E7)</f>
        <v>0</v>
      </c>
      <c r="H7" s="3">
        <f>F7/$F$14</f>
        <v>0</v>
      </c>
      <c r="J7" s="5">
        <v>-3</v>
      </c>
      <c r="K7" s="6">
        <f t="shared" ref="K7:M13" si="0">$H7*C$16*$F$14</f>
        <v>0</v>
      </c>
      <c r="L7" s="6">
        <f t="shared" si="0"/>
        <v>0</v>
      </c>
      <c r="M7" s="6">
        <f t="shared" si="0"/>
        <v>0</v>
      </c>
      <c r="N7" s="7">
        <f>SUM(K7:M7)</f>
        <v>0</v>
      </c>
      <c r="P7" s="5">
        <v>-3</v>
      </c>
      <c r="Q7" s="6">
        <f>IFERROR((K7-C7)^2/K7,0)</f>
        <v>0</v>
      </c>
      <c r="R7" s="6">
        <f t="shared" ref="R7:S7" si="1">IFERROR((L7-D7)^2/L7,0)</f>
        <v>0</v>
      </c>
      <c r="S7" s="6">
        <f t="shared" si="1"/>
        <v>0</v>
      </c>
    </row>
    <row r="8" spans="2:19" ht="18.75" x14ac:dyDescent="0.25">
      <c r="B8" s="5">
        <v>-2</v>
      </c>
      <c r="C8" s="6">
        <v>0</v>
      </c>
      <c r="D8" s="6">
        <v>0</v>
      </c>
      <c r="E8" s="6">
        <v>3</v>
      </c>
      <c r="F8" s="7">
        <f t="shared" ref="F8:F13" si="2">SUM(C8:E8)</f>
        <v>3</v>
      </c>
      <c r="H8" s="3">
        <f>F8/$F$14</f>
        <v>1.4634146341463415E-2</v>
      </c>
      <c r="J8" s="5">
        <v>-2</v>
      </c>
      <c r="K8" s="6">
        <f t="shared" si="0"/>
        <v>0.13170731707317071</v>
      </c>
      <c r="L8" s="6">
        <f t="shared" si="0"/>
        <v>1.75609756097561</v>
      </c>
      <c r="M8" s="6">
        <f t="shared" si="0"/>
        <v>1.1121951219512196</v>
      </c>
      <c r="N8" s="7">
        <f t="shared" ref="N8:N13" si="3">SUM(K8:M8)</f>
        <v>3</v>
      </c>
      <c r="P8" s="5">
        <v>-2</v>
      </c>
      <c r="Q8" s="6">
        <f t="shared" ref="Q8:Q13" si="4">(K8-C8)^2/K8</f>
        <v>0.13170731707317071</v>
      </c>
      <c r="R8" s="6">
        <f t="shared" ref="R8:S13" si="5">(L8-D8)^2/L8</f>
        <v>1.75609756097561</v>
      </c>
      <c r="S8" s="6">
        <f t="shared" si="5"/>
        <v>3.2043003851091134</v>
      </c>
    </row>
    <row r="9" spans="2:19" ht="18.75" x14ac:dyDescent="0.25">
      <c r="B9" s="5">
        <v>-1</v>
      </c>
      <c r="C9" s="6">
        <v>0</v>
      </c>
      <c r="D9" s="6">
        <v>8</v>
      </c>
      <c r="E9" s="6">
        <v>14</v>
      </c>
      <c r="F9" s="7">
        <f t="shared" si="2"/>
        <v>22</v>
      </c>
      <c r="H9" s="3">
        <f t="shared" ref="H9:H13" si="6">F9/$F$14</f>
        <v>0.10731707317073171</v>
      </c>
      <c r="J9" s="5">
        <v>-1</v>
      </c>
      <c r="K9" s="6">
        <f t="shared" si="0"/>
        <v>0.96585365853658534</v>
      </c>
      <c r="L9" s="6">
        <f t="shared" si="0"/>
        <v>12.878048780487806</v>
      </c>
      <c r="M9" s="6">
        <f t="shared" si="0"/>
        <v>8.1560975609756099</v>
      </c>
      <c r="N9" s="7">
        <f t="shared" si="3"/>
        <v>22</v>
      </c>
      <c r="P9" s="5">
        <v>-1</v>
      </c>
      <c r="Q9" s="6">
        <f t="shared" si="4"/>
        <v>0.96585365853658534</v>
      </c>
      <c r="R9" s="6">
        <f t="shared" si="5"/>
        <v>1.8477457501847752</v>
      </c>
      <c r="S9" s="6">
        <f t="shared" si="5"/>
        <v>4.1871980394445094</v>
      </c>
    </row>
    <row r="10" spans="2:19" ht="18.75" x14ac:dyDescent="0.25">
      <c r="B10" s="5">
        <v>0</v>
      </c>
      <c r="C10" s="6">
        <v>7</v>
      </c>
      <c r="D10" s="6">
        <v>35</v>
      </c>
      <c r="E10" s="6">
        <v>25</v>
      </c>
      <c r="F10" s="7">
        <f t="shared" si="2"/>
        <v>67</v>
      </c>
      <c r="H10" s="3">
        <f t="shared" si="6"/>
        <v>0.32682926829268294</v>
      </c>
      <c r="J10" s="5">
        <v>0</v>
      </c>
      <c r="K10" s="6">
        <f t="shared" si="0"/>
        <v>2.9414634146341463</v>
      </c>
      <c r="L10" s="6">
        <f t="shared" si="0"/>
        <v>39.219512195121951</v>
      </c>
      <c r="M10" s="6">
        <f t="shared" si="0"/>
        <v>24.839024390243903</v>
      </c>
      <c r="N10" s="7">
        <f t="shared" si="3"/>
        <v>67</v>
      </c>
      <c r="P10" s="5">
        <v>0</v>
      </c>
      <c r="Q10" s="6">
        <f t="shared" si="4"/>
        <v>5.5998382073372968</v>
      </c>
      <c r="R10" s="6">
        <f t="shared" si="5"/>
        <v>0.4539649314403591</v>
      </c>
      <c r="S10" s="6">
        <f t="shared" si="5"/>
        <v>1.0432433468089493E-3</v>
      </c>
    </row>
    <row r="11" spans="2:19" ht="18.75" x14ac:dyDescent="0.25">
      <c r="B11" s="5">
        <v>1</v>
      </c>
      <c r="C11" s="6">
        <v>0</v>
      </c>
      <c r="D11" s="6">
        <v>44</v>
      </c>
      <c r="E11" s="6">
        <v>10</v>
      </c>
      <c r="F11" s="7">
        <f t="shared" si="2"/>
        <v>54</v>
      </c>
      <c r="H11" s="3">
        <f>F11/$F$14</f>
        <v>0.26341463414634148</v>
      </c>
      <c r="J11" s="5">
        <v>1</v>
      </c>
      <c r="K11" s="6">
        <f t="shared" si="0"/>
        <v>2.3707317073170731</v>
      </c>
      <c r="L11" s="6">
        <f t="shared" si="0"/>
        <v>31.609756097560975</v>
      </c>
      <c r="M11" s="6">
        <f t="shared" si="0"/>
        <v>20.019512195121951</v>
      </c>
      <c r="N11" s="7">
        <f t="shared" si="3"/>
        <v>54</v>
      </c>
      <c r="P11" s="5">
        <v>1</v>
      </c>
      <c r="Q11" s="6">
        <f t="shared" si="4"/>
        <v>2.3707317073170731</v>
      </c>
      <c r="R11" s="6">
        <f t="shared" si="5"/>
        <v>4.8566696778078891</v>
      </c>
      <c r="S11" s="6">
        <f t="shared" si="5"/>
        <v>5.0146389007749725</v>
      </c>
    </row>
    <row r="12" spans="2:19" ht="18.75" x14ac:dyDescent="0.25">
      <c r="B12" s="5">
        <v>2</v>
      </c>
      <c r="C12" s="6">
        <v>2</v>
      </c>
      <c r="D12" s="6">
        <v>22</v>
      </c>
      <c r="E12" s="6">
        <v>8</v>
      </c>
      <c r="F12" s="7">
        <f t="shared" si="2"/>
        <v>32</v>
      </c>
      <c r="H12" s="3">
        <f t="shared" si="6"/>
        <v>0.15609756097560976</v>
      </c>
      <c r="J12" s="5">
        <v>2</v>
      </c>
      <c r="K12" s="6">
        <f t="shared" si="0"/>
        <v>1.4048780487804877</v>
      </c>
      <c r="L12" s="6">
        <f t="shared" si="0"/>
        <v>18.73170731707317</v>
      </c>
      <c r="M12" s="6">
        <f t="shared" si="0"/>
        <v>11.863414634146341</v>
      </c>
      <c r="N12" s="7">
        <f t="shared" si="3"/>
        <v>32</v>
      </c>
      <c r="P12" s="5">
        <v>2</v>
      </c>
      <c r="Q12" s="6">
        <f t="shared" si="4"/>
        <v>0.2521002710027101</v>
      </c>
      <c r="R12" s="6">
        <f t="shared" si="5"/>
        <v>0.5702489837398379</v>
      </c>
      <c r="S12" s="6">
        <f t="shared" si="5"/>
        <v>1.2581514762516046</v>
      </c>
    </row>
    <row r="13" spans="2:19" ht="18.75" x14ac:dyDescent="0.25">
      <c r="B13" s="5">
        <v>3</v>
      </c>
      <c r="C13" s="6">
        <v>0</v>
      </c>
      <c r="D13" s="6">
        <v>11</v>
      </c>
      <c r="E13" s="6">
        <v>16</v>
      </c>
      <c r="F13" s="7">
        <f t="shared" si="2"/>
        <v>27</v>
      </c>
      <c r="H13" s="3">
        <f t="shared" si="6"/>
        <v>0.13170731707317074</v>
      </c>
      <c r="J13" s="5">
        <v>3</v>
      </c>
      <c r="K13" s="6">
        <f t="shared" si="0"/>
        <v>1.1853658536585365</v>
      </c>
      <c r="L13" s="6">
        <f t="shared" si="0"/>
        <v>15.804878048780488</v>
      </c>
      <c r="M13" s="6">
        <f t="shared" si="0"/>
        <v>10.009756097560976</v>
      </c>
      <c r="N13" s="7">
        <f t="shared" si="3"/>
        <v>27</v>
      </c>
      <c r="P13" s="5">
        <v>3</v>
      </c>
      <c r="Q13" s="6">
        <f t="shared" si="4"/>
        <v>1.1853658536585365</v>
      </c>
      <c r="R13" s="6">
        <f t="shared" si="5"/>
        <v>1.460742246311352</v>
      </c>
      <c r="S13" s="6">
        <f t="shared" si="5"/>
        <v>3.5848048305044453</v>
      </c>
    </row>
    <row r="14" spans="2:19" x14ac:dyDescent="0.25">
      <c r="B14" s="7" t="s">
        <v>3</v>
      </c>
      <c r="C14" s="7">
        <f>SUM(C7:C13)</f>
        <v>9</v>
      </c>
      <c r="D14" s="7">
        <f t="shared" ref="D14:E14" si="7">SUM(D7:D13)</f>
        <v>120</v>
      </c>
      <c r="E14" s="7">
        <f t="shared" si="7"/>
        <v>76</v>
      </c>
      <c r="F14" s="8">
        <f>SUM(C14:E14)</f>
        <v>205</v>
      </c>
      <c r="J14" s="7" t="s">
        <v>3</v>
      </c>
      <c r="K14" s="7">
        <f>SUM(K7:K13)</f>
        <v>9</v>
      </c>
      <c r="L14" s="7">
        <f t="shared" ref="L14" si="8">SUM(L7:L13)</f>
        <v>120</v>
      </c>
      <c r="M14" s="7">
        <f t="shared" ref="M14" si="9">SUM(M7:M13)</f>
        <v>76</v>
      </c>
      <c r="N14" s="8">
        <f>SUM(K14:M14)</f>
        <v>205</v>
      </c>
      <c r="P14" s="7" t="s">
        <v>3</v>
      </c>
      <c r="Q14" s="7">
        <f>SUM(Q7:Q13)</f>
        <v>10.505597014925373</v>
      </c>
      <c r="R14" s="7">
        <f t="shared" ref="R14" si="10">SUM(R7:R13)</f>
        <v>10.945469150459822</v>
      </c>
      <c r="S14" s="7">
        <f t="shared" ref="S14" si="11">SUM(S7:S13)</f>
        <v>17.250136875431455</v>
      </c>
    </row>
    <row r="16" spans="2:19" x14ac:dyDescent="0.25">
      <c r="B16" s="7" t="s">
        <v>6</v>
      </c>
      <c r="C16" s="3">
        <f>C14/$F$14</f>
        <v>4.3902439024390241E-2</v>
      </c>
      <c r="D16" s="3">
        <f t="shared" ref="D16:E16" si="12">D14/$F$14</f>
        <v>0.58536585365853655</v>
      </c>
      <c r="E16" s="3">
        <f t="shared" si="12"/>
        <v>0.37073170731707317</v>
      </c>
    </row>
    <row r="20" spans="2:10" x14ac:dyDescent="0.25">
      <c r="B20" s="9" t="s">
        <v>10</v>
      </c>
      <c r="C20" s="9">
        <f>(COUNTA(B8:B13)-1)*(COUNTA(C6:E6)-1)</f>
        <v>10</v>
      </c>
      <c r="D20" s="10" t="s">
        <v>11</v>
      </c>
      <c r="E20" s="10"/>
      <c r="F20" s="10"/>
      <c r="G20" s="10"/>
      <c r="H20" s="10"/>
      <c r="I20" s="10"/>
      <c r="J20" s="10"/>
    </row>
    <row r="21" spans="2:10" x14ac:dyDescent="0.25">
      <c r="B21" s="9" t="s">
        <v>12</v>
      </c>
      <c r="C21" s="11">
        <f>SUM(Q14:S14)</f>
        <v>38.701203040816651</v>
      </c>
      <c r="D21" s="10" t="s">
        <v>13</v>
      </c>
      <c r="E21" s="10"/>
      <c r="F21" s="10"/>
      <c r="G21" s="10"/>
      <c r="H21" s="10"/>
      <c r="I21" s="10"/>
      <c r="J21" s="10"/>
    </row>
    <row r="22" spans="2:10" x14ac:dyDescent="0.25">
      <c r="B22" s="9" t="s">
        <v>14</v>
      </c>
      <c r="C22" s="9">
        <f>_xlfn.CHISQ.TEST(C8:E13,K8:M13)</f>
        <v>2.8636085046401177E-5</v>
      </c>
      <c r="D22" s="10"/>
      <c r="E22" s="10"/>
      <c r="F22" s="10"/>
      <c r="G22" s="10"/>
      <c r="H22" s="10"/>
      <c r="I22" s="10"/>
      <c r="J22" s="10"/>
    </row>
    <row r="23" spans="2:10" x14ac:dyDescent="0.25">
      <c r="B23" s="10"/>
      <c r="C23" s="9">
        <f>_xlfn.CHISQ.DIST.RT(C21,C20)</f>
        <v>2.8636085046401258E-5</v>
      </c>
      <c r="D23" s="10"/>
      <c r="E23" s="10"/>
      <c r="F23" s="10"/>
      <c r="G23" s="10"/>
      <c r="H23" s="10"/>
      <c r="I23" s="10"/>
      <c r="J23" s="10"/>
    </row>
    <row r="24" spans="2:10" x14ac:dyDescent="0.25">
      <c r="B24" s="10"/>
      <c r="C24" s="9">
        <f>CHITEST(C8:E13,K8:M13)</f>
        <v>2.8636085046401177E-5</v>
      </c>
      <c r="D24" s="10"/>
      <c r="E24" s="10"/>
      <c r="F24" s="10"/>
      <c r="G24" s="10"/>
      <c r="H24" s="10"/>
      <c r="I24" s="10"/>
      <c r="J24" s="10"/>
    </row>
    <row r="25" spans="2:10" ht="40.5" x14ac:dyDescent="0.25">
      <c r="B25" s="12" t="s">
        <v>15</v>
      </c>
      <c r="C25" s="13">
        <v>0.05</v>
      </c>
      <c r="D25" s="10"/>
      <c r="E25" s="10"/>
      <c r="F25" s="10"/>
      <c r="G25" s="10"/>
      <c r="H25" s="10"/>
      <c r="I25" s="10"/>
      <c r="J25" s="10"/>
    </row>
    <row r="26" spans="2:10" ht="54" x14ac:dyDescent="0.25">
      <c r="B26" s="12" t="s">
        <v>16</v>
      </c>
      <c r="C26" s="11">
        <f>_xlfn.CHISQ.INV.RT(C25,C20)</f>
        <v>18.307038053275146</v>
      </c>
      <c r="D26" s="10"/>
      <c r="E26" s="10"/>
      <c r="F26" s="10"/>
      <c r="G26" s="10"/>
      <c r="H26" s="10"/>
      <c r="I26" s="10"/>
      <c r="J26" s="10"/>
    </row>
    <row r="27" spans="2:10" x14ac:dyDescent="0.25">
      <c r="B27" s="10"/>
      <c r="C27" s="10"/>
      <c r="D27" s="10"/>
      <c r="E27" s="10"/>
      <c r="F27" s="10"/>
      <c r="G27" s="10"/>
      <c r="H27" s="10"/>
      <c r="I27" s="10"/>
      <c r="J27" s="10"/>
    </row>
    <row r="28" spans="2:10" x14ac:dyDescent="0.25">
      <c r="B28" s="14" t="s">
        <v>20</v>
      </c>
      <c r="C28" s="10"/>
      <c r="D28" s="10"/>
      <c r="E28" s="10"/>
      <c r="F28" s="10"/>
      <c r="G28" s="10"/>
      <c r="H28" s="10"/>
      <c r="I28" s="10"/>
      <c r="J28" s="10"/>
    </row>
    <row r="29" spans="2:10" x14ac:dyDescent="0.25">
      <c r="B29" s="10" t="s">
        <v>17</v>
      </c>
      <c r="C29" s="10"/>
      <c r="D29" s="15" t="str">
        <f>IF(C25&gt;C23,"Отклонить","Принять")</f>
        <v>Отклонить</v>
      </c>
      <c r="E29" s="10"/>
      <c r="F29" s="10"/>
      <c r="G29" s="10"/>
      <c r="H29" s="10"/>
      <c r="I29" s="10"/>
      <c r="J29" s="10"/>
    </row>
    <row r="30" spans="2:10" x14ac:dyDescent="0.25">
      <c r="B30" s="10"/>
      <c r="C30" s="10"/>
      <c r="D30" s="10"/>
      <c r="E30" s="10"/>
      <c r="F30" s="10"/>
      <c r="G30" s="10"/>
      <c r="H30" s="10"/>
      <c r="I30" s="10"/>
      <c r="J30" s="10"/>
    </row>
    <row r="31" spans="2:10" x14ac:dyDescent="0.25">
      <c r="B31" s="14" t="s">
        <v>18</v>
      </c>
      <c r="C31" s="10" t="s">
        <v>21</v>
      </c>
      <c r="D31" s="10"/>
      <c r="E31" s="10"/>
      <c r="F31" s="10"/>
      <c r="G31" s="10"/>
      <c r="H31" s="10"/>
      <c r="I31" s="10"/>
      <c r="J31" s="10"/>
    </row>
    <row r="32" spans="2:10" x14ac:dyDescent="0.25">
      <c r="B32" s="14" t="s">
        <v>19</v>
      </c>
      <c r="C32" s="10" t="str">
        <f>IF(C25&gt;C23,"В","Не в")&amp;"лияет"</f>
        <v>Влияет</v>
      </c>
      <c r="D32" s="10"/>
      <c r="E32" s="10"/>
      <c r="F32" s="10"/>
      <c r="G32" s="10"/>
      <c r="H32" s="10"/>
      <c r="I32" s="10"/>
      <c r="J32" s="10"/>
    </row>
  </sheetData>
  <conditionalFormatting sqref="D29">
    <cfRule type="expression" dxfId="0" priority="1">
      <formula>$B$32&gt;$B$29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dmitriydankin84@gmail.com</dc:creator>
  <cp:lastModifiedBy>dmitriydankin84@gmail.com</cp:lastModifiedBy>
  <dcterms:created xsi:type="dcterms:W3CDTF">2026-09-20T11:39:19Z</dcterms:created>
  <dcterms:modified xsi:type="dcterms:W3CDTF">2026-09-20T12:16:02Z</dcterms:modified>
</cp:coreProperties>
</file>